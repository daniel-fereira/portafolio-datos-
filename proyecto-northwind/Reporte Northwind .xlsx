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5"/>
    <sheet state="visible" name="Queries" sheetId="2" r:id="rId6"/>
    <sheet state="visible" name="Graficos" sheetId="3" r:id="rId7"/>
  </sheets>
  <definedNames/>
  <calcPr/>
</workbook>
</file>

<file path=xl/sharedStrings.xml><?xml version="1.0" encoding="utf-8"?>
<sst xmlns="http://schemas.openxmlformats.org/spreadsheetml/2006/main" count="120" uniqueCount="91">
  <si>
    <t>Facturacion Total por Año</t>
  </si>
  <si>
    <t>Facturacion por Mes 1997</t>
  </si>
  <si>
    <t>Facturacion total por año Categoria-Condiments</t>
  </si>
  <si>
    <t>Cantidad de pedidos por Transportistas</t>
  </si>
  <si>
    <t>Facturacion por Mes 1997 - Bebidas y Confites</t>
  </si>
  <si>
    <t>Año</t>
  </si>
  <si>
    <t>Facturacion</t>
  </si>
  <si>
    <t>Mes</t>
  </si>
  <si>
    <t>Shipper</t>
  </si>
  <si>
    <t>Pedidos_Speedy_Express</t>
  </si>
  <si>
    <t>Pedidos_United_Package</t>
  </si>
  <si>
    <t>Pedidos_Federal_Shipping</t>
  </si>
  <si>
    <t>Facturacion_Bebidas</t>
  </si>
  <si>
    <t>Facturacion_Confites</t>
  </si>
  <si>
    <t>Enero</t>
  </si>
  <si>
    <t>Cantidad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</si>
  <si>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</si>
  <si>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</si>
  <si>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</si>
  <si>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</si>
  <si>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</si>
  <si>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</si>
  <si>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</si>
  <si>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</si>
  <si>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</si>
  <si>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</si>
  <si>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</si>
  <si>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Calcular las ventas totales, clasificadas por año.</t>
  </si>
  <si>
    <t>Calcular las ventas totales, clasificadas por mes, del año 1997.</t>
  </si>
  <si>
    <t>Calcular las ventas totales, clasificadas por año, de la categoría ‘Condimentos’.</t>
  </si>
  <si>
    <t>Mostrar cuántos pedidos fueron enviados por Speedy Express, cuántos por United Package y cuántos Federal Shipping.</t>
  </si>
  <si>
    <t>SELECT</t>
  </si>
  <si>
    <t>CASE</t>
  </si>
  <si>
    <t>WHEN strftime('%Y', OrderDate) = '1996' THEN '1996'</t>
  </si>
  <si>
    <t>WHEN strftime('%m', OrderDate) = '01' THEN 'Enero'</t>
  </si>
  <si>
    <t>SUM(CASE WHEN ShipVia = 1 THEN 1 ELSE 0 END) AS Pedidos_Speedy_Express,</t>
  </si>
  <si>
    <t>WHEN strftime('%Y', OrderDate) = '1997' THEN '1997'</t>
  </si>
  <si>
    <t>WHEN strftime('%m', OrderDate) = '02' THEN 'Febrero'</t>
  </si>
  <si>
    <t>WHEN strftime('%Y', INV.OrderDate) = '1996' THEN '1996'</t>
  </si>
  <si>
    <t>SUM(CASE WHEN ShipVia = 2 THEN 1 ELSE 0 END) AS Pedidos_United_Package,</t>
  </si>
  <si>
    <t>WHEN strftime('%Y', OrderDate) = '1998' THEN '1998'</t>
  </si>
  <si>
    <t>WHEN strftime('%m', OrderDate) = '03' THEN 'Marzo'</t>
  </si>
  <si>
    <t>WHEN strftime('%Y', INV.OrderDate) = '1997' THEN '1997'</t>
  </si>
  <si>
    <t>SUM(CASE WHEN ShipVia = 3 THEN 1 ELSE 0 END) AS Pedidos_Federal_Shipping</t>
  </si>
  <si>
    <t>ELSE 'Other' END AS Año,</t>
  </si>
  <si>
    <t>WHEN strftime('%m', OrderDate) = '04' THEN 'Abril'</t>
  </si>
  <si>
    <t>WHEN strftime('%Y', INV.OrderDate) = '1998' THEN '1998'</t>
  </si>
  <si>
    <t>FROM Orders;</t>
  </si>
  <si>
    <t>ROUND(SUM(ExtendedPrice),0) AS Facturacion</t>
  </si>
  <si>
    <t>WHEN strftime('%m', OrderDate) = '05' THEN 'Mayo'</t>
  </si>
  <si>
    <t>ELSE 'Other'</t>
  </si>
  <si>
    <t>FROM Invoices</t>
  </si>
  <si>
    <t>WHEN strftime('%m', OrderDate) = '06' THEN 'Junio'</t>
  </si>
  <si>
    <t>END AS Año,</t>
  </si>
  <si>
    <t>GROUP BY Año;</t>
  </si>
  <si>
    <t>WHEN strftime('%m', OrderDate) = '07' THEN 'Julio'</t>
  </si>
  <si>
    <t>ROUND(SUM(INV.ExtendedPrice),0) AS Facturacion</t>
  </si>
  <si>
    <t>WHEN strftime('%m', OrderDate) = '08' THEN 'Agosto'</t>
  </si>
  <si>
    <t>FROM Invoices INV</t>
  </si>
  <si>
    <t>WHEN strftime('%m', OrderDate) = '09' THEN 'Septiembre'</t>
  </si>
  <si>
    <t>JOIN Products PRO ON PRO.ProductID = INV.ProductID</t>
  </si>
  <si>
    <t>WHEN strftime('%m', OrderDate) = '10' THEN 'Octubre'</t>
  </si>
  <si>
    <t>JOIN Categories CAT ON CAT.CategoryID = PRO.CategoryID</t>
  </si>
  <si>
    <t>WHEN strftime('%m', OrderDate) = '11' THEN 'Noviembre'</t>
  </si>
  <si>
    <t>WHERE CAT.CategoryName = 'Condiments'</t>
  </si>
  <si>
    <t>WHEN strftime('%m', OrderDate) = '12' THEN 'Diciembre'</t>
  </si>
  <si>
    <t>GROUP BY Año</t>
  </si>
  <si>
    <t>ELSE 'Other' END AS Mes,</t>
  </si>
  <si>
    <t>ORDER BY Año;</t>
  </si>
  <si>
    <t>WHERE strftime('%Y', OrderDate) = '1997'</t>
  </si>
  <si>
    <t>GROUP BY Mes</t>
  </si>
  <si>
    <t>ORDER BY OrderDate ASC;</t>
  </si>
  <si>
    <t>Mostrar la facturación mensual del año 1997, comparando las categorías ‘Beverages’ y ‘Confections’.</t>
  </si>
  <si>
    <t>WHEN STRFTIME('%m', INV.OrderDate) = '01' THEN 'Enero'</t>
  </si>
  <si>
    <t>WHEN STRFTIME('%m', INV.OrderDate) = '02' THEN 'Febrero'</t>
  </si>
  <si>
    <t>WHEN STRFTIME('%m', INV.OrderDate) = '03' THEN 'Marzo'</t>
  </si>
  <si>
    <t>WHEN STRFTIME('%m', INV.OrderDate) = '04' THEN 'Abril'</t>
  </si>
  <si>
    <t>WHEN STRFTIME('%m', INV.OrderDate) = '05' THEN 'Mayo'</t>
  </si>
  <si>
    <t>WHEN STRFTIME('%m', INV.OrderDate) = '06' THEN 'Junio'</t>
  </si>
  <si>
    <t>WHEN STRFTIME('%m', INV.OrderDate) = '07' THEN 'Julio'</t>
  </si>
  <si>
    <t>WHEN STRFTIME('%m', INV.OrderDate) = '08' THEN 'Agosto'</t>
  </si>
  <si>
    <t>WHEN STRFTIME('%m', INV.OrderDate) = '09' THEN 'Septiembre'</t>
  </si>
  <si>
    <t>WHEN STRFTIME('%m', INV.OrderDate) = '10' THEN 'Octubre'</t>
  </si>
  <si>
    <t>WHEN STRFTIME('%m', INV.OrderDate) = '11' THEN 'Noviembre'</t>
  </si>
  <si>
    <t>WHEN STRFTIME('%m', INV.OrderDate) = '12' THEN 'Diciembre'</t>
  </si>
  <si>
    <t>ROUND(SUM(CASE WHEN CAT.CategoryName = 'Beverages' THEN INV.ExtendedPrice ELSE 0 END),0) AS Facturacion_Bebidas,</t>
  </si>
  <si>
    <t>ROUND(SUM(CASE WHEN CAT.CategoryName = 'Confections' THEN INV.ExtendedPrice ELSE 0 END),0) AS Facturacion_Confites</t>
  </si>
  <si>
    <t>WHERE strftime('%Y', INV.OrderDate) = '1997'</t>
  </si>
  <si>
    <t>AND CAT.CategoryName IN ('Beverages', 'Confections')</t>
  </si>
  <si>
    <t>GROUP BY STRFTIME('%m', INV.OrderDate)</t>
  </si>
  <si>
    <t>ORDER BY STRFTIME('%m', INV.OrderDate) ASC 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</si>
</sst>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rgb="FF000000"/>
      <name val="Arial"/>
      <scheme val="minor"/>
    </font>
    <font>
      <b/>
      <color theme="1"/>
      <name val="Arial"/>
    </font>
    <font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2" fillId="2" fontId="2" numFmtId="0" xfId="0" applyBorder="1" applyFont="1"/>
    <xf borderId="1" fillId="3" fontId="1" numFmtId="0" xfId="0" applyAlignment="1" applyBorder="1" applyFill="1" applyFont="1">
      <alignment horizontal="center" readingOrder="0"/>
    </xf>
    <xf borderId="3" fillId="2" fontId="2" numFmtId="0" xfId="0" applyBorder="1" applyFont="1"/>
    <xf borderId="4" fillId="4" fontId="3" numFmtId="0" xfId="0" applyAlignment="1" applyBorder="1" applyFill="1" applyFont="1">
      <alignment readingOrder="0"/>
    </xf>
    <xf borderId="0" fillId="0" fontId="1" numFmtId="0" xfId="0" applyFont="1"/>
    <xf borderId="4" fillId="4" fontId="1" numFmtId="0" xfId="0" applyAlignment="1" applyBorder="1" applyFont="1">
      <alignment readingOrder="0"/>
    </xf>
    <xf borderId="4" fillId="4" fontId="4" numFmtId="0" xfId="0" applyAlignment="1" applyBorder="1" applyFont="1">
      <alignment vertical="bottom"/>
    </xf>
    <xf borderId="4" fillId="0" fontId="1" numFmtId="0" xfId="0" applyAlignment="1" applyBorder="1" applyFont="1">
      <alignment readingOrder="0"/>
    </xf>
    <xf borderId="4" fillId="5" fontId="5" numFmtId="0" xfId="0" applyAlignment="1" applyBorder="1" applyFill="1" applyFont="1">
      <alignment readingOrder="0"/>
    </xf>
    <xf borderId="4" fillId="5" fontId="5" numFmtId="164" xfId="0" applyAlignment="1" applyBorder="1" applyFont="1" applyNumberFormat="1">
      <alignment readingOrder="0"/>
    </xf>
    <xf borderId="4" fillId="5" fontId="6" numFmtId="0" xfId="0" applyAlignment="1" applyBorder="1" applyFont="1">
      <alignment readingOrder="0"/>
    </xf>
    <xf borderId="4" fillId="5" fontId="7" numFmtId="0" xfId="0" applyAlignment="1" applyBorder="1" applyFont="1">
      <alignment horizontal="right" vertical="bottom"/>
    </xf>
    <xf borderId="4" fillId="4" fontId="7" numFmtId="164" xfId="0" applyAlignment="1" applyBorder="1" applyFont="1" applyNumberFormat="1">
      <alignment horizontal="right" vertical="bottom"/>
    </xf>
    <xf borderId="4" fillId="0" fontId="6" numFmtId="3" xfId="0" applyAlignment="1" applyBorder="1" applyFont="1" applyNumberFormat="1">
      <alignment readingOrder="0"/>
    </xf>
    <xf borderId="4" fillId="0" fontId="6" numFmtId="0" xfId="0" applyAlignment="1" applyBorder="1" applyFont="1">
      <alignment readingOrder="0"/>
    </xf>
    <xf borderId="4" fillId="4" fontId="5" numFmtId="0" xfId="0" applyAlignment="1" applyBorder="1" applyFont="1">
      <alignment readingOrder="0"/>
    </xf>
    <xf borderId="4" fillId="4" fontId="5" numFmtId="164" xfId="0" applyAlignment="1" applyBorder="1" applyFont="1" applyNumberFormat="1">
      <alignment readingOrder="0"/>
    </xf>
    <xf borderId="4" fillId="4" fontId="6" numFmtId="0" xfId="0" applyAlignment="1" applyBorder="1" applyFont="1">
      <alignment readingOrder="0"/>
    </xf>
    <xf borderId="4" fillId="4" fontId="7" numFmtId="0" xfId="0" applyAlignment="1" applyBorder="1" applyFont="1">
      <alignment horizontal="right" vertical="bottom"/>
    </xf>
    <xf borderId="1" fillId="6" fontId="1" numFmtId="0" xfId="0" applyAlignment="1" applyBorder="1" applyFill="1" applyFont="1">
      <alignment readingOrder="0"/>
    </xf>
    <xf borderId="3" fillId="6" fontId="1" numFmtId="0" xfId="0" applyBorder="1" applyFont="1"/>
    <xf borderId="2" fillId="6" fontId="1" numFmtId="0" xfId="0" applyBorder="1" applyFont="1"/>
    <xf borderId="3" fillId="6" fontId="1" numFmtId="0" xfId="0" applyAlignment="1" applyBorder="1" applyFont="1">
      <alignment readingOrder="0"/>
    </xf>
    <xf borderId="2" fillId="6" fontId="1" numFmtId="0" xfId="0" applyAlignment="1" applyBorder="1" applyFont="1">
      <alignment readingOrder="0"/>
    </xf>
    <xf borderId="1" fillId="6" fontId="3" numFmtId="0" xfId="0" applyAlignment="1" applyBorder="1" applyFont="1">
      <alignment readingOrder="0"/>
    </xf>
    <xf borderId="3" fillId="6" fontId="3" numFmtId="0" xfId="0" applyBorder="1" applyFont="1"/>
    <xf borderId="2" fillId="6" fontId="3" numFmtId="0" xfId="0" applyBorder="1" applyFont="1"/>
    <xf borderId="5" fillId="0" fontId="6" numFmtId="0" xfId="0" applyAlignment="1" applyBorder="1" applyFont="1">
      <alignment readingOrder="0"/>
    </xf>
    <xf borderId="6" fillId="0" fontId="6" numFmtId="0" xfId="0" applyBorder="1" applyFont="1"/>
    <xf borderId="7" fillId="0" fontId="6" numFmtId="0" xfId="0" applyBorder="1" applyFont="1"/>
    <xf borderId="8" fillId="0" fontId="6" numFmtId="0" xfId="0" applyAlignment="1" applyBorder="1" applyFont="1">
      <alignment readingOrder="0"/>
    </xf>
    <xf borderId="9" fillId="0" fontId="6" numFmtId="0" xfId="0" applyBorder="1" applyFont="1"/>
    <xf borderId="5" fillId="0" fontId="6" numFmtId="0" xfId="0" applyBorder="1" applyFont="1"/>
    <xf borderId="8" fillId="0" fontId="6" numFmtId="0" xfId="0" applyBorder="1" applyFont="1"/>
    <xf borderId="10" fillId="0" fontId="6" numFmtId="0" xfId="0" applyAlignment="1" applyBorder="1" applyFont="1">
      <alignment readingOrder="0"/>
    </xf>
    <xf borderId="11" fillId="0" fontId="6" numFmtId="0" xfId="0" applyBorder="1" applyFont="1"/>
    <xf borderId="12" fillId="0" fontId="6" numFmtId="0" xfId="0" applyBorder="1" applyFont="1"/>
    <xf borderId="1" fillId="7" fontId="1" numFmtId="0" xfId="0" applyAlignment="1" applyBorder="1" applyFill="1" applyFont="1">
      <alignment readingOrder="0"/>
    </xf>
    <xf borderId="3" fillId="7" fontId="1" numFmtId="0" xfId="0" applyBorder="1" applyFont="1"/>
    <xf borderId="3" fillId="7" fontId="6" numFmtId="0" xfId="0" applyBorder="1" applyFont="1"/>
    <xf borderId="2" fillId="7" fontId="6" numFmtId="0" xfId="0" applyBorder="1" applyFont="1"/>
    <xf borderId="0" fillId="8" fontId="6" numFmtId="0" xfId="0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Resultad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Facturacion por Mes Año 1997	</a:t>
            </a:r>
          </a:p>
        </c:rich>
      </c:tx>
      <c:layout>
        <c:manualLayout>
          <c:xMode val="edge"/>
          <c:yMode val="edge"/>
          <c:x val="0.02536127167630058"/>
          <c:y val="0.04191374663072776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Resultados!$E$1:$E$2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6AA84F">
                  <a:alpha val="100000"/>
                </a:srgbClr>
              </a:solidFill>
              <a:ln cmpd="sng">
                <a:solidFill>
                  <a:srgbClr val="6AA84F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Resultados!$D$3:$D$14</c:f>
            </c:strRef>
          </c:cat>
          <c:val>
            <c:numRef>
              <c:f>Resultados!$E$3:$E$14</c:f>
              <c:numCache/>
            </c:numRef>
          </c:val>
          <c:smooth val="1"/>
        </c:ser>
        <c:axId val="1536563417"/>
        <c:axId val="873086653"/>
      </c:lineChart>
      <c:catAx>
        <c:axId val="1536563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3086653"/>
      </c:catAx>
      <c:valAx>
        <c:axId val="873086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Facturacion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65634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Distribucion de Pedidos por Transportista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Resultados!$J$3</c:f>
            </c:strRef>
          </c:tx>
          <c:dPt>
            <c:idx val="0"/>
            <c:spPr>
              <a:solidFill>
                <a:srgbClr val="D0E0E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Resultados!$K$2:$M$2</c:f>
            </c:strRef>
          </c:cat>
          <c:val>
            <c:numRef>
              <c:f>Resultados!$K$3:$M$3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Facturacion por Mes 1997 - Bebidas y Confites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Resultados!$Q$1:$Q$2</c:f>
            </c:strRef>
          </c:tx>
          <c:spPr>
            <a:ln cmpd="sng">
              <a:solidFill>
                <a:srgbClr val="F4CCCC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EA9999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Resultados!$P$3:$P$14</c:f>
            </c:strRef>
          </c:cat>
          <c:val>
            <c:numRef>
              <c:f>Resultados!$Q$3:$Q$14</c:f>
              <c:numCache/>
            </c:numRef>
          </c:val>
          <c:smooth val="1"/>
        </c:ser>
        <c:ser>
          <c:idx val="1"/>
          <c:order val="1"/>
          <c:tx>
            <c:strRef>
              <c:f>Resultados!$R$1:$R$2</c:f>
            </c:strRef>
          </c:tx>
          <c:spPr>
            <a:ln cmpd="sng">
              <a:solidFill>
                <a:srgbClr val="B6D7A8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93C47D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Resultados!$P$3:$P$14</c:f>
            </c:strRef>
          </c:cat>
          <c:val>
            <c:numRef>
              <c:f>Resultados!$R$3:$R$14</c:f>
              <c:numCache/>
            </c:numRef>
          </c:val>
          <c:smooth val="1"/>
        </c:ser>
        <c:axId val="1280902653"/>
        <c:axId val="1174178538"/>
      </c:lineChart>
      <c:catAx>
        <c:axId val="1280902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4178538"/>
      </c:catAx>
      <c:valAx>
        <c:axId val="1174178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09026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image" Target="../media/Chart3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85725</xdr:rowOff>
    </xdr:from>
    <xdr:ext cx="4867275" cy="3533775"/>
    <xdr:pic>
      <xdr:nvPicPr>
        <xdr:cNvPr id="2020718056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19</xdr:row>
      <xdr:rowOff>85725</xdr:rowOff>
    </xdr:from>
    <xdr:ext cx="166497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504825</xdr:colOff>
      <xdr:row>0</xdr:row>
      <xdr:rowOff>85725</xdr:rowOff>
    </xdr:from>
    <xdr:ext cx="5000625" cy="3533775"/>
    <xdr:pic>
      <xdr:nvPicPr>
        <xdr:cNvPr id="201896682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847725</xdr:colOff>
      <xdr:row>0</xdr:row>
      <xdr:rowOff>85725</xdr:rowOff>
    </xdr:from>
    <xdr:ext cx="6315075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133350</xdr:colOff>
      <xdr:row>38</xdr:row>
      <xdr:rowOff>85725</xdr:rowOff>
    </xdr:from>
    <xdr:ext cx="16649700" cy="40290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K2:M3" displayName="Table_1" name="Table_1" id="1">
  <tableColumns count="3">
    <tableColumn name="Pedidos_Speedy_Express" id="1"/>
    <tableColumn name="Pedidos_United_Package" id="2"/>
    <tableColumn name="Pedidos_Federal_Shipping" id="3"/>
  </tableColumns>
  <tableStyleInfo name="Result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75"/>
    <col customWidth="1" min="8" max="8" width="23.75"/>
    <col customWidth="1" min="10" max="10" width="22.38"/>
    <col customWidth="1" min="11" max="11" width="22.25"/>
    <col customWidth="1" min="12" max="12" width="22.5"/>
    <col customWidth="1" min="13" max="13" width="22.13"/>
    <col customWidth="1" min="15" max="15" width="10.25"/>
    <col customWidth="1" min="16" max="16" width="14.63"/>
    <col customWidth="1" min="17" max="17" width="18.38"/>
    <col customWidth="1" min="18" max="18" width="19.0"/>
  </cols>
  <sheetData>
    <row r="1">
      <c r="A1" s="1" t="s">
        <v>0</v>
      </c>
      <c r="D1" s="1" t="s">
        <v>1</v>
      </c>
      <c r="G1" s="2" t="s">
        <v>2</v>
      </c>
      <c r="H1" s="3"/>
      <c r="J1" s="4" t="s">
        <v>3</v>
      </c>
      <c r="K1" s="5"/>
      <c r="L1" s="5"/>
      <c r="M1" s="3"/>
      <c r="P1" s="2" t="s">
        <v>4</v>
      </c>
      <c r="Q1" s="5"/>
      <c r="R1" s="3"/>
    </row>
    <row r="2">
      <c r="A2" s="6" t="s">
        <v>5</v>
      </c>
      <c r="B2" s="6" t="s">
        <v>6</v>
      </c>
      <c r="C2" s="7"/>
      <c r="D2" s="8" t="s">
        <v>7</v>
      </c>
      <c r="E2" s="8" t="s">
        <v>6</v>
      </c>
      <c r="G2" s="9" t="s">
        <v>5</v>
      </c>
      <c r="H2" s="9" t="s">
        <v>6</v>
      </c>
      <c r="J2" s="10" t="s">
        <v>8</v>
      </c>
      <c r="K2" s="8" t="s">
        <v>9</v>
      </c>
      <c r="L2" s="8" t="s">
        <v>10</v>
      </c>
      <c r="M2" s="8" t="s">
        <v>11</v>
      </c>
      <c r="P2" s="8" t="s">
        <v>7</v>
      </c>
      <c r="Q2" s="8" t="s">
        <v>12</v>
      </c>
      <c r="R2" s="8" t="s">
        <v>13</v>
      </c>
    </row>
    <row r="3">
      <c r="A3" s="11">
        <v>1996.0</v>
      </c>
      <c r="B3" s="12">
        <v>208084.0</v>
      </c>
      <c r="D3" s="13" t="s">
        <v>14</v>
      </c>
      <c r="E3" s="12">
        <v>61258.0</v>
      </c>
      <c r="G3" s="14">
        <v>1996.0</v>
      </c>
      <c r="H3" s="15">
        <v>17900.0</v>
      </c>
      <c r="J3" s="10" t="s">
        <v>15</v>
      </c>
      <c r="K3" s="16">
        <v>249.0</v>
      </c>
      <c r="L3" s="17">
        <v>326.0</v>
      </c>
      <c r="M3" s="17">
        <v>255.0</v>
      </c>
      <c r="P3" s="13" t="s">
        <v>14</v>
      </c>
      <c r="Q3" s="15">
        <v>21904.0</v>
      </c>
      <c r="R3" s="15">
        <v>9128.0</v>
      </c>
    </row>
    <row r="4">
      <c r="A4" s="18">
        <v>1997.0</v>
      </c>
      <c r="B4" s="19">
        <v>617085.0</v>
      </c>
      <c r="D4" s="20" t="s">
        <v>16</v>
      </c>
      <c r="E4" s="19">
        <v>38484.0</v>
      </c>
      <c r="G4" s="21">
        <v>1997.0</v>
      </c>
      <c r="H4" s="15">
        <v>55369.0</v>
      </c>
      <c r="P4" s="20" t="s">
        <v>16</v>
      </c>
      <c r="Q4" s="15">
        <v>2846.0</v>
      </c>
      <c r="R4" s="15">
        <v>6979.0</v>
      </c>
    </row>
    <row r="5">
      <c r="A5" s="11">
        <v>1998.0</v>
      </c>
      <c r="B5" s="12">
        <v>440624.0</v>
      </c>
      <c r="D5" s="13" t="s">
        <v>17</v>
      </c>
      <c r="E5" s="12">
        <v>38547.0</v>
      </c>
      <c r="G5" s="14">
        <v>1998.0</v>
      </c>
      <c r="H5" s="15">
        <v>32778.0</v>
      </c>
      <c r="P5" s="13" t="s">
        <v>17</v>
      </c>
      <c r="Q5" s="15">
        <v>10637.0</v>
      </c>
      <c r="R5" s="15">
        <v>3210.0</v>
      </c>
    </row>
    <row r="6">
      <c r="D6" s="20" t="s">
        <v>18</v>
      </c>
      <c r="E6" s="19">
        <v>53033.0</v>
      </c>
      <c r="P6" s="20" t="s">
        <v>18</v>
      </c>
      <c r="Q6" s="15">
        <v>7074.0</v>
      </c>
      <c r="R6" s="15">
        <v>11539.0</v>
      </c>
    </row>
    <row r="7">
      <c r="D7" s="13" t="s">
        <v>19</v>
      </c>
      <c r="E7" s="12">
        <v>53781.0</v>
      </c>
      <c r="P7" s="13" t="s">
        <v>19</v>
      </c>
      <c r="Q7" s="15">
        <v>15422.0</v>
      </c>
      <c r="R7" s="15">
        <v>7690.0</v>
      </c>
    </row>
    <row r="8">
      <c r="D8" s="20" t="s">
        <v>20</v>
      </c>
      <c r="E8" s="19">
        <v>36363.0</v>
      </c>
      <c r="P8" s="20" t="s">
        <v>20</v>
      </c>
      <c r="Q8" s="15">
        <v>3485.0</v>
      </c>
      <c r="R8" s="15">
        <v>2175.0</v>
      </c>
    </row>
    <row r="9">
      <c r="D9" s="13" t="s">
        <v>21</v>
      </c>
      <c r="E9" s="12">
        <v>51021.0</v>
      </c>
      <c r="P9" s="13" t="s">
        <v>21</v>
      </c>
      <c r="Q9" s="15">
        <v>7889.0</v>
      </c>
      <c r="R9" s="15">
        <v>6463.0</v>
      </c>
    </row>
    <row r="10">
      <c r="D10" s="20" t="s">
        <v>22</v>
      </c>
      <c r="E10" s="19">
        <v>47288.0</v>
      </c>
      <c r="P10" s="20" t="s">
        <v>22</v>
      </c>
      <c r="Q10" s="15">
        <v>5837.0</v>
      </c>
      <c r="R10" s="15">
        <v>7106.0</v>
      </c>
    </row>
    <row r="11">
      <c r="D11" s="13" t="s">
        <v>23</v>
      </c>
      <c r="E11" s="12">
        <v>55629.0</v>
      </c>
      <c r="P11" s="13" t="s">
        <v>23</v>
      </c>
      <c r="Q11" s="15">
        <v>5727.0</v>
      </c>
      <c r="R11" s="15">
        <v>6709.0</v>
      </c>
    </row>
    <row r="12">
      <c r="D12" s="20" t="s">
        <v>24</v>
      </c>
      <c r="E12" s="19">
        <v>66749.0</v>
      </c>
      <c r="P12" s="20" t="s">
        <v>24</v>
      </c>
      <c r="Q12" s="15">
        <v>8375.0</v>
      </c>
      <c r="R12" s="15">
        <v>7801.0</v>
      </c>
    </row>
    <row r="13">
      <c r="D13" s="13" t="s">
        <v>25</v>
      </c>
      <c r="E13" s="12">
        <v>43534.0</v>
      </c>
      <c r="P13" s="13" t="s">
        <v>25</v>
      </c>
      <c r="Q13" s="15">
        <v>3851.0</v>
      </c>
      <c r="R13" s="15">
        <v>5082.0</v>
      </c>
    </row>
    <row r="14">
      <c r="D14" s="20" t="s">
        <v>26</v>
      </c>
      <c r="E14" s="19">
        <v>71398.0</v>
      </c>
      <c r="P14" s="20" t="s">
        <v>26</v>
      </c>
      <c r="Q14" s="15">
        <v>10877.0</v>
      </c>
      <c r="R14" s="15">
        <v>8778.0</v>
      </c>
    </row>
  </sheetData>
  <mergeCells count="5">
    <mergeCell ref="A1:B1"/>
    <mergeCell ref="D1:E1"/>
    <mergeCell ref="G1:H1"/>
    <mergeCell ref="J1:M1"/>
    <mergeCell ref="P1:R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6.63"/>
    <col customWidth="1" min="14" max="14" width="13.0"/>
    <col customWidth="1" min="22" max="22" width="21.25"/>
  </cols>
  <sheetData>
    <row r="1">
      <c r="A1" s="22" t="s">
        <v>27</v>
      </c>
      <c r="B1" s="23"/>
      <c r="C1" s="24"/>
      <c r="E1" s="22" t="s">
        <v>28</v>
      </c>
      <c r="F1" s="25"/>
      <c r="G1" s="25"/>
      <c r="H1" s="26"/>
      <c r="J1" s="22" t="s">
        <v>29</v>
      </c>
      <c r="K1" s="23"/>
      <c r="L1" s="23"/>
      <c r="M1" s="23"/>
      <c r="N1" s="24"/>
      <c r="P1" s="27" t="s">
        <v>30</v>
      </c>
      <c r="Q1" s="28"/>
      <c r="R1" s="28"/>
      <c r="S1" s="28"/>
      <c r="T1" s="28"/>
      <c r="U1" s="28"/>
      <c r="V1" s="29"/>
    </row>
    <row r="2">
      <c r="A2" s="30" t="s">
        <v>31</v>
      </c>
      <c r="B2" s="31"/>
      <c r="C2" s="32"/>
      <c r="E2" s="33" t="s">
        <v>31</v>
      </c>
      <c r="H2" s="34"/>
      <c r="J2" s="35"/>
      <c r="K2" s="31"/>
      <c r="L2" s="31"/>
      <c r="M2" s="31"/>
      <c r="N2" s="32"/>
      <c r="P2" s="36"/>
      <c r="V2" s="34"/>
    </row>
    <row r="3">
      <c r="A3" s="33" t="s">
        <v>32</v>
      </c>
      <c r="C3" s="34"/>
      <c r="E3" s="33" t="s">
        <v>32</v>
      </c>
      <c r="H3" s="34"/>
      <c r="J3" s="33" t="s">
        <v>31</v>
      </c>
      <c r="N3" s="34"/>
      <c r="P3" s="33" t="s">
        <v>31</v>
      </c>
      <c r="V3" s="34"/>
    </row>
    <row r="4">
      <c r="A4" s="33" t="s">
        <v>33</v>
      </c>
      <c r="C4" s="34"/>
      <c r="E4" s="33" t="s">
        <v>34</v>
      </c>
      <c r="H4" s="34"/>
      <c r="J4" s="33" t="s">
        <v>32</v>
      </c>
      <c r="N4" s="34"/>
      <c r="P4" s="33" t="s">
        <v>35</v>
      </c>
      <c r="V4" s="34"/>
    </row>
    <row r="5">
      <c r="A5" s="33" t="s">
        <v>36</v>
      </c>
      <c r="C5" s="34"/>
      <c r="E5" s="33" t="s">
        <v>37</v>
      </c>
      <c r="H5" s="34"/>
      <c r="J5" s="33" t="s">
        <v>38</v>
      </c>
      <c r="N5" s="34"/>
      <c r="P5" s="33" t="s">
        <v>39</v>
      </c>
      <c r="V5" s="34"/>
    </row>
    <row r="6">
      <c r="A6" s="33" t="s">
        <v>40</v>
      </c>
      <c r="C6" s="34"/>
      <c r="E6" s="33" t="s">
        <v>41</v>
      </c>
      <c r="H6" s="34"/>
      <c r="J6" s="33" t="s">
        <v>42</v>
      </c>
      <c r="N6" s="34"/>
      <c r="P6" s="33" t="s">
        <v>43</v>
      </c>
      <c r="V6" s="34"/>
    </row>
    <row r="7">
      <c r="A7" s="33" t="s">
        <v>44</v>
      </c>
      <c r="C7" s="34"/>
      <c r="E7" s="33" t="s">
        <v>45</v>
      </c>
      <c r="H7" s="34"/>
      <c r="J7" s="33" t="s">
        <v>46</v>
      </c>
      <c r="N7" s="34"/>
      <c r="P7" s="37" t="s">
        <v>47</v>
      </c>
      <c r="Q7" s="38"/>
      <c r="R7" s="38"/>
      <c r="S7" s="38"/>
      <c r="T7" s="38"/>
      <c r="U7" s="38"/>
      <c r="V7" s="39"/>
    </row>
    <row r="8">
      <c r="A8" s="33" t="s">
        <v>48</v>
      </c>
      <c r="C8" s="34"/>
      <c r="E8" s="33" t="s">
        <v>49</v>
      </c>
      <c r="H8" s="34"/>
      <c r="J8" s="33" t="s">
        <v>50</v>
      </c>
      <c r="N8" s="34"/>
    </row>
    <row r="9">
      <c r="A9" s="33" t="s">
        <v>51</v>
      </c>
      <c r="C9" s="34"/>
      <c r="E9" s="33" t="s">
        <v>52</v>
      </c>
      <c r="H9" s="34"/>
      <c r="J9" s="33" t="s">
        <v>53</v>
      </c>
      <c r="N9" s="34"/>
    </row>
    <row r="10">
      <c r="A10" s="37" t="s">
        <v>54</v>
      </c>
      <c r="B10" s="38"/>
      <c r="C10" s="39"/>
      <c r="E10" s="33" t="s">
        <v>55</v>
      </c>
      <c r="H10" s="34"/>
      <c r="J10" s="33" t="s">
        <v>56</v>
      </c>
      <c r="N10" s="34"/>
    </row>
    <row r="11">
      <c r="E11" s="33" t="s">
        <v>57</v>
      </c>
      <c r="H11" s="34"/>
      <c r="J11" s="33" t="s">
        <v>58</v>
      </c>
      <c r="N11" s="34"/>
    </row>
    <row r="12">
      <c r="E12" s="33" t="s">
        <v>59</v>
      </c>
      <c r="H12" s="34"/>
      <c r="J12" s="33" t="s">
        <v>60</v>
      </c>
      <c r="N12" s="34"/>
    </row>
    <row r="13">
      <c r="E13" s="33" t="s">
        <v>61</v>
      </c>
      <c r="H13" s="34"/>
      <c r="J13" s="33" t="s">
        <v>62</v>
      </c>
      <c r="N13" s="34"/>
    </row>
    <row r="14">
      <c r="E14" s="33" t="s">
        <v>63</v>
      </c>
      <c r="H14" s="34"/>
      <c r="J14" s="33" t="s">
        <v>64</v>
      </c>
      <c r="N14" s="34"/>
    </row>
    <row r="15">
      <c r="E15" s="33" t="s">
        <v>65</v>
      </c>
      <c r="H15" s="34"/>
      <c r="J15" s="33" t="s">
        <v>66</v>
      </c>
      <c r="N15" s="34"/>
    </row>
    <row r="16">
      <c r="E16" s="33" t="s">
        <v>67</v>
      </c>
      <c r="H16" s="34"/>
      <c r="J16" s="37" t="s">
        <v>68</v>
      </c>
      <c r="K16" s="38"/>
      <c r="L16" s="38"/>
      <c r="M16" s="38"/>
      <c r="N16" s="39"/>
    </row>
    <row r="17">
      <c r="E17" s="33" t="s">
        <v>48</v>
      </c>
      <c r="H17" s="34"/>
    </row>
    <row r="18">
      <c r="E18" s="33" t="s">
        <v>51</v>
      </c>
      <c r="H18" s="34"/>
    </row>
    <row r="19">
      <c r="E19" s="33" t="s">
        <v>69</v>
      </c>
      <c r="H19" s="34"/>
    </row>
    <row r="20">
      <c r="E20" s="33" t="s">
        <v>70</v>
      </c>
      <c r="H20" s="34"/>
    </row>
    <row r="21">
      <c r="E21" s="37" t="s">
        <v>71</v>
      </c>
      <c r="F21" s="38"/>
      <c r="G21" s="38"/>
      <c r="H21" s="39"/>
    </row>
    <row r="24">
      <c r="A24" s="40" t="s">
        <v>72</v>
      </c>
      <c r="B24" s="41"/>
      <c r="C24" s="41"/>
      <c r="D24" s="41"/>
      <c r="E24" s="41"/>
      <c r="F24" s="41"/>
      <c r="G24" s="42"/>
      <c r="H24" s="43"/>
    </row>
    <row r="25">
      <c r="A25" s="36"/>
      <c r="H25" s="34"/>
    </row>
    <row r="26">
      <c r="A26" s="33" t="s">
        <v>31</v>
      </c>
      <c r="H26" s="34"/>
    </row>
    <row r="27">
      <c r="A27" s="33" t="s">
        <v>32</v>
      </c>
      <c r="H27" s="34"/>
    </row>
    <row r="28">
      <c r="A28" s="33" t="s">
        <v>73</v>
      </c>
      <c r="H28" s="34"/>
    </row>
    <row r="29">
      <c r="A29" s="33" t="s">
        <v>74</v>
      </c>
      <c r="H29" s="34"/>
    </row>
    <row r="30">
      <c r="A30" s="33" t="s">
        <v>75</v>
      </c>
      <c r="H30" s="34"/>
    </row>
    <row r="31">
      <c r="A31" s="33" t="s">
        <v>76</v>
      </c>
      <c r="H31" s="34"/>
    </row>
    <row r="32">
      <c r="A32" s="33" t="s">
        <v>77</v>
      </c>
      <c r="H32" s="34"/>
    </row>
    <row r="33">
      <c r="A33" s="33" t="s">
        <v>78</v>
      </c>
      <c r="H33" s="34"/>
    </row>
    <row r="34">
      <c r="A34" s="33" t="s">
        <v>79</v>
      </c>
      <c r="H34" s="34"/>
    </row>
    <row r="35">
      <c r="A35" s="33" t="s">
        <v>80</v>
      </c>
      <c r="H35" s="34"/>
    </row>
    <row r="36">
      <c r="A36" s="33" t="s">
        <v>81</v>
      </c>
      <c r="H36" s="34"/>
    </row>
    <row r="37">
      <c r="A37" s="33" t="s">
        <v>82</v>
      </c>
      <c r="H37" s="34"/>
    </row>
    <row r="38">
      <c r="A38" s="33" t="s">
        <v>83</v>
      </c>
      <c r="H38" s="34"/>
    </row>
    <row r="39">
      <c r="A39" s="33" t="s">
        <v>84</v>
      </c>
      <c r="H39" s="34"/>
    </row>
    <row r="40">
      <c r="A40" s="33" t="s">
        <v>67</v>
      </c>
      <c r="H40" s="34"/>
    </row>
    <row r="41">
      <c r="A41" s="33" t="s">
        <v>85</v>
      </c>
      <c r="H41" s="34"/>
    </row>
    <row r="42">
      <c r="A42" s="33" t="s">
        <v>86</v>
      </c>
      <c r="H42" s="34"/>
    </row>
    <row r="43">
      <c r="A43" s="33" t="s">
        <v>58</v>
      </c>
      <c r="H43" s="34"/>
    </row>
    <row r="44">
      <c r="A44" s="33" t="s">
        <v>60</v>
      </c>
      <c r="H44" s="34"/>
    </row>
    <row r="45">
      <c r="A45" s="33" t="s">
        <v>62</v>
      </c>
      <c r="H45" s="34"/>
    </row>
    <row r="46">
      <c r="A46" s="33" t="s">
        <v>87</v>
      </c>
      <c r="H46" s="34"/>
    </row>
    <row r="47">
      <c r="A47" s="33" t="s">
        <v>88</v>
      </c>
      <c r="H47" s="34"/>
    </row>
    <row r="48">
      <c r="A48" s="33" t="s">
        <v>89</v>
      </c>
      <c r="H48" s="34"/>
    </row>
    <row r="49">
      <c r="A49" s="37" t="s">
        <v>90</v>
      </c>
      <c r="B49" s="38"/>
      <c r="C49" s="38"/>
      <c r="D49" s="38"/>
      <c r="E49" s="38"/>
      <c r="F49" s="38"/>
      <c r="G49" s="38"/>
      <c r="H49" s="3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5">
      <c r="O15" s="44"/>
    </row>
  </sheetData>
  <drawing r:id="rId1"/>
</worksheet>
</file>